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Heverson\Documents\"/>
    </mc:Choice>
  </mc:AlternateContent>
  <bookViews>
    <workbookView xWindow="0" yWindow="0" windowWidth="20490" windowHeight="7755"/>
  </bookViews>
  <sheets>
    <sheet name="Saldo" sheetId="3" r:id="rId1"/>
    <sheet name="Controle de Entrada e Saída" sheetId="1" r:id="rId2"/>
  </sheets>
  <definedNames>
    <definedName name="Movimentação">Tabela1[]</definedName>
  </definedNames>
  <calcPr calcId="152511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0" i="1" l="1"/>
  <c r="H50" i="1" s="1"/>
  <c r="G49" i="1" l="1"/>
  <c r="H49" i="1" s="1"/>
  <c r="G48" i="1"/>
  <c r="H48" i="1" s="1"/>
  <c r="G47" i="1"/>
  <c r="H47" i="1" s="1"/>
  <c r="G46" i="1"/>
  <c r="H46" i="1" s="1"/>
  <c r="G45" i="1"/>
  <c r="H45" i="1" s="1"/>
  <c r="G44" i="1"/>
  <c r="H44" i="1" s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G36" i="1"/>
  <c r="H36" i="1" s="1"/>
  <c r="G35" i="1"/>
  <c r="H35" i="1" s="1"/>
  <c r="G34" i="1"/>
  <c r="H34" i="1" s="1"/>
  <c r="G33" i="1"/>
  <c r="H33" i="1" s="1"/>
  <c r="G32" i="1"/>
  <c r="H32" i="1" s="1"/>
  <c r="G31" i="1"/>
  <c r="H31" i="1" s="1"/>
  <c r="G30" i="1"/>
  <c r="H30" i="1" s="1"/>
  <c r="G29" i="1"/>
  <c r="H29" i="1" s="1"/>
  <c r="G28" i="1"/>
  <c r="H28" i="1" s="1"/>
  <c r="G27" i="1"/>
  <c r="H27" i="1" s="1"/>
  <c r="G26" i="1"/>
  <c r="H26" i="1" s="1"/>
  <c r="G25" i="1"/>
  <c r="H25" i="1" s="1"/>
  <c r="G24" i="1"/>
  <c r="H24" i="1" s="1"/>
  <c r="G23" i="1"/>
  <c r="H23" i="1" s="1"/>
  <c r="G22" i="1"/>
  <c r="H22" i="1" s="1"/>
  <c r="G21" i="1"/>
  <c r="H21" i="1" s="1"/>
  <c r="G3" i="1"/>
  <c r="H3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/>
  <c r="G15" i="1"/>
  <c r="H15" i="1" s="1"/>
  <c r="G16" i="1"/>
  <c r="H16" i="1"/>
  <c r="G17" i="1"/>
  <c r="H17" i="1" s="1"/>
  <c r="G18" i="1"/>
  <c r="H18" i="1" s="1"/>
  <c r="G19" i="1"/>
  <c r="H19" i="1" s="1"/>
  <c r="G20" i="1"/>
  <c r="H20" i="1" s="1"/>
  <c r="H2" i="1"/>
  <c r="G2" i="1"/>
</calcChain>
</file>

<file path=xl/sharedStrings.xml><?xml version="1.0" encoding="utf-8"?>
<sst xmlns="http://schemas.openxmlformats.org/spreadsheetml/2006/main" count="249" uniqueCount="65">
  <si>
    <t>Material</t>
  </si>
  <si>
    <t>Data</t>
  </si>
  <si>
    <t>Movimentação</t>
  </si>
  <si>
    <t>Quantidade</t>
  </si>
  <si>
    <t>Entidade</t>
  </si>
  <si>
    <t>Observações</t>
  </si>
  <si>
    <t>Fator</t>
  </si>
  <si>
    <t>Saldo</t>
  </si>
  <si>
    <t>BOLSAS MARACANÃ</t>
  </si>
  <si>
    <t>BOMBAS PARA BOLA</t>
  </si>
  <si>
    <t>FUTEBOL SOCIETY 4M</t>
  </si>
  <si>
    <t>FUTEBOL SUIÇO 4,20 M</t>
  </si>
  <si>
    <t>FUTEBOL SUIÇO 5M</t>
  </si>
  <si>
    <t>FUTEBOL SUIÇO 5,25M</t>
  </si>
  <si>
    <t>FUTEBOL SUIÇO 6,15M</t>
  </si>
  <si>
    <t>FUTSAL 3,10</t>
  </si>
  <si>
    <t>VOLEIBOL</t>
  </si>
  <si>
    <t>TENIS DE CAMPO</t>
  </si>
  <si>
    <t>FUTEBOL DE AREIA</t>
  </si>
  <si>
    <t>BASQUETE</t>
  </si>
  <si>
    <t>SACOS DE NYLON PARA BOLAS</t>
  </si>
  <si>
    <t>FUTEBOL DE CAMPO OFICIAL DUNK</t>
  </si>
  <si>
    <t>FUTEBOL SOCIETY 6M DUNK</t>
  </si>
  <si>
    <t>FUTSAL  DUNK 3M</t>
  </si>
  <si>
    <t>FUTEBOL SOCIETY 5M DUNK</t>
  </si>
  <si>
    <t>VOLEIBOL MAGNUN</t>
  </si>
  <si>
    <t>FUTEBOL SOCIETY MAGNUN 4M</t>
  </si>
  <si>
    <t>Entrada</t>
  </si>
  <si>
    <t>Inventário</t>
  </si>
  <si>
    <t>BASQUETE COURO PENALTY MASCULINO 5.6</t>
  </si>
  <si>
    <t>BASQUETE COURO PENALTY MASCULINO PRO 7.5</t>
  </si>
  <si>
    <t xml:space="preserve">BASQUETE COURO PRO 5.6 FEMININO </t>
  </si>
  <si>
    <t>BASQUETE PENALTY 6.4 FEMININO</t>
  </si>
  <si>
    <t>BASQUETE PENALTY OFICIAL BORRACHA</t>
  </si>
  <si>
    <t>BASQUETE PRO 7.4</t>
  </si>
  <si>
    <t>FUTEBOL CAMPO KAGIVA DUBAI</t>
  </si>
  <si>
    <t>FUTEBOL CAMPO PENALTY OFICIAL</t>
  </si>
  <si>
    <t>FUTEBOL CAMPO R1</t>
  </si>
  <si>
    <t>FUTSAL KAGIVA F5 PRO</t>
  </si>
  <si>
    <t>FUTSAL MAX 200  PENALTY</t>
  </si>
  <si>
    <t>FUTSAL MAX 500 PENALTY</t>
  </si>
  <si>
    <t>FUTSAL PRO</t>
  </si>
  <si>
    <t>FUTSAL SUB 11 KAGIVA</t>
  </si>
  <si>
    <t>FUTSAL SUB 13 KAGIVA</t>
  </si>
  <si>
    <t>HANDEBOL H1L</t>
  </si>
  <si>
    <t>HANDEBOL H2L</t>
  </si>
  <si>
    <t>HANDEBOL KAGIVA H3L K3</t>
  </si>
  <si>
    <t>VOLEIBOL BEACH VOLEY KAGIVA HAWAI 6.0</t>
  </si>
  <si>
    <t>VOLEIBOL BEACH VOLLEY PRO IV</t>
  </si>
  <si>
    <t>VOLEIBOL KAGIVA AZUL/AMARELA</t>
  </si>
  <si>
    <t>VOLEIBOL KAGIVA K8</t>
  </si>
  <si>
    <t>VOLEIBOL MIKASA BEACH CLASSIC</t>
  </si>
  <si>
    <t>VOLEIBOL MIRIM PENALTY</t>
  </si>
  <si>
    <t>VOLEIBOL PENALTY 5500</t>
  </si>
  <si>
    <t>VOLEIBOL PENALTY PRO 6.0</t>
  </si>
  <si>
    <t>VOLEIBOL PENALTY PRO 7.0</t>
  </si>
  <si>
    <t>SMELJ</t>
  </si>
  <si>
    <t>Saída</t>
  </si>
  <si>
    <t>Boqueirão</t>
  </si>
  <si>
    <t>Competição</t>
  </si>
  <si>
    <t>Rótulos de Linha</t>
  </si>
  <si>
    <t>Total Geral</t>
  </si>
  <si>
    <t>Soma de Saldo</t>
  </si>
  <si>
    <t>Voleibol</t>
  </si>
  <si>
    <t>Basquete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</si>
</sst>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14" fontId="0" fillId="0" borderId="0" xfId="0" applyNumberFormat="1" applyBorder="1"/>
    <xf numFmtId="0" fontId="0" fillId="0" borderId="0" xfId="0" applyBorder="1"/>
    <xf numFmtId="0" fontId="0" fillId="0" borderId="0" xfId="0" applyBorder="1" applyAlignment="1"/>
    <xf numFmtId="0" fontId="0" fillId="0" borderId="0" xfId="0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numFmt numFmtId="19" formatCode="dd/mm/yyyy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verson Castro Amorim" refreshedDate="42435.862945138892" createdVersion="5" refreshedVersion="5" minRefreshableVersion="3" recordCount="49">
  <cacheSource type="worksheet">
    <worksheetSource name="Tabela1"/>
  </cacheSource>
  <cacheFields count="8">
    <cacheField name="Material" numFmtId="0">
      <sharedItems count="46">
        <s v="FUTEBOL SOCIETY 4M"/>
        <s v="FUTEBOL SUIÇO 4,20 M"/>
        <s v="FUTEBOL SUIÇO 5M"/>
        <s v="FUTEBOL SUIÇO 5,25M"/>
        <s v="FUTEBOL SUIÇO 6,15M"/>
        <s v="FUTSAL 3,10"/>
        <s v="VOLEIBOL"/>
        <s v="TENIS DE CAMPO"/>
        <s v="FUTEBOL DE AREIA"/>
        <s v="BASQUETE"/>
        <s v="SACOS DE NYLON PARA BOLAS"/>
        <s v="FUTEBOL DE CAMPO OFICIAL DUNK"/>
        <s v="FUTEBOL SOCIETY 6M DUNK"/>
        <s v="FUTSAL  DUNK 3M"/>
        <s v="FUTEBOL SOCIETY 5M DUNK"/>
        <s v="VOLEIBOL MAGNUN"/>
        <s v="FUTEBOL SOCIETY MAGNUN 4M"/>
        <s v="BOLSAS MARACANÃ"/>
        <s v="BOMBAS PARA BOLA"/>
        <s v="BASQUETE COURO PENALTY MASCULINO 5.6"/>
        <s v="BASQUETE COURO PENALTY MASCULINO PRO 7.5"/>
        <s v="BASQUETE COURO PRO 5.6 FEMININO "/>
        <s v="BASQUETE PENALTY 6.4 FEMININO"/>
        <s v="BASQUETE PENALTY OFICIAL BORRACHA"/>
        <s v="BASQUETE PRO 7.4"/>
        <s v="FUTEBOL CAMPO KAGIVA DUBAI"/>
        <s v="FUTEBOL CAMPO PENALTY OFICIAL"/>
        <s v="FUTEBOL CAMPO R1"/>
        <s v="FUTSAL KAGIVA F5 PRO"/>
        <s v="FUTSAL MAX 200  PENALTY"/>
        <s v="FUTSAL MAX 500 PENALTY"/>
        <s v="FUTSAL PRO"/>
        <s v="FUTSAL SUB 11 KAGIVA"/>
        <s v="FUTSAL SUB 13 KAGIVA"/>
        <s v="HANDEBOL H1L"/>
        <s v="HANDEBOL H2L"/>
        <s v="HANDEBOL KAGIVA H3L K3"/>
        <s v="VOLEIBOL BEACH VOLEY KAGIVA HAWAI 6.0"/>
        <s v="VOLEIBOL BEACH VOLLEY PRO IV"/>
        <s v="VOLEIBOL KAGIVA AZUL/AMARELA"/>
        <s v="VOLEIBOL KAGIVA K8"/>
        <s v="VOLEIBOL MIKASA BEACH CLASSIC"/>
        <s v="VOLEIBOL MIRIM PENALTY"/>
        <s v="VOLEIBOL PENALTY 5500"/>
        <s v="VOLEIBOL PENALTY PRO 6.0"/>
        <s v="VOLEIBOL PENALTY PRO 7.0"/>
      </sharedItems>
    </cacheField>
    <cacheField name="Data" numFmtId="14">
      <sharedItems containsNonDate="0" containsDate="1" containsString="0" containsBlank="1" minDate="2016-03-07T00:00:00" maxDate="2016-03-09T00:00:00"/>
    </cacheField>
    <cacheField name="Movimentação" numFmtId="0">
      <sharedItems/>
    </cacheField>
    <cacheField name="Quantidade" numFmtId="0">
      <sharedItems containsSemiMixedTypes="0" containsString="0" containsNumber="1" containsInteger="1" minValue="1" maxValue="10"/>
    </cacheField>
    <cacheField name="Entidade" numFmtId="0">
      <sharedItems containsBlank="1"/>
    </cacheField>
    <cacheField name="Observações" numFmtId="0">
      <sharedItems containsBlank="1"/>
    </cacheField>
    <cacheField name="Fator" numFmtId="0">
      <sharedItems containsSemiMixedTypes="0" containsString="0" containsNumber="1" containsInteger="1" minValue="-1" maxValue="1"/>
    </cacheField>
    <cacheField name="Saldo" numFmtId="0">
      <sharedItems containsSemiMixedTypes="0" containsString="0" containsNumber="1" containsInteger="1" minValue="-5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">
  <r>
    <x v="0"/>
    <d v="2016-03-07T00:00:00"/>
    <s v="Entrada"/>
    <n v="10"/>
    <s v="SMELJ"/>
    <s v="Inventário"/>
    <n v="1"/>
    <n v="10"/>
  </r>
  <r>
    <x v="1"/>
    <d v="2016-03-07T00:00:00"/>
    <s v="Entrada"/>
    <n v="10"/>
    <s v="SMELJ"/>
    <s v="Inventário"/>
    <n v="1"/>
    <n v="10"/>
  </r>
  <r>
    <x v="2"/>
    <d v="2016-03-07T00:00:00"/>
    <s v="Entrada"/>
    <n v="10"/>
    <s v="SMELJ"/>
    <s v="Inventário"/>
    <n v="1"/>
    <n v="10"/>
  </r>
  <r>
    <x v="3"/>
    <d v="2016-03-07T00:00:00"/>
    <s v="Entrada"/>
    <n v="10"/>
    <s v="SMELJ"/>
    <s v="Inventário"/>
    <n v="1"/>
    <n v="10"/>
  </r>
  <r>
    <x v="4"/>
    <d v="2016-03-07T00:00:00"/>
    <s v="Entrada"/>
    <n v="10"/>
    <s v="SMELJ"/>
    <s v="Inventário"/>
    <n v="1"/>
    <n v="10"/>
  </r>
  <r>
    <x v="5"/>
    <d v="2016-03-07T00:00:00"/>
    <s v="Entrada"/>
    <n v="10"/>
    <s v="SMELJ"/>
    <s v="Inventário"/>
    <n v="1"/>
    <n v="10"/>
  </r>
  <r>
    <x v="6"/>
    <d v="2016-03-07T00:00:00"/>
    <s v="Entrada"/>
    <n v="10"/>
    <s v="SMELJ"/>
    <s v="Inventário"/>
    <n v="1"/>
    <n v="10"/>
  </r>
  <r>
    <x v="7"/>
    <d v="2016-03-07T00:00:00"/>
    <s v="Entrada"/>
    <n v="10"/>
    <s v="SMELJ"/>
    <s v="Inventário"/>
    <n v="1"/>
    <n v="10"/>
  </r>
  <r>
    <x v="8"/>
    <d v="2016-03-07T00:00:00"/>
    <s v="Entrada"/>
    <n v="10"/>
    <s v="SMELJ"/>
    <s v="Inventário"/>
    <n v="1"/>
    <n v="10"/>
  </r>
  <r>
    <x v="9"/>
    <d v="2016-03-07T00:00:00"/>
    <s v="Entrada"/>
    <n v="10"/>
    <s v="SMELJ"/>
    <s v="Inventário"/>
    <n v="1"/>
    <n v="10"/>
  </r>
  <r>
    <x v="10"/>
    <d v="2016-03-07T00:00:00"/>
    <s v="Entrada"/>
    <n v="10"/>
    <s v="SMELJ"/>
    <s v="Inventário"/>
    <n v="1"/>
    <n v="10"/>
  </r>
  <r>
    <x v="11"/>
    <d v="2016-03-07T00:00:00"/>
    <s v="Entrada"/>
    <n v="10"/>
    <s v="SMELJ"/>
    <s v="Inventário"/>
    <n v="1"/>
    <n v="10"/>
  </r>
  <r>
    <x v="12"/>
    <d v="2016-03-07T00:00:00"/>
    <s v="Entrada"/>
    <n v="10"/>
    <s v="SMELJ"/>
    <s v="Inventário"/>
    <n v="1"/>
    <n v="10"/>
  </r>
  <r>
    <x v="13"/>
    <d v="2016-03-07T00:00:00"/>
    <s v="Entrada"/>
    <n v="10"/>
    <s v="SMELJ"/>
    <s v="Inventário"/>
    <n v="1"/>
    <n v="10"/>
  </r>
  <r>
    <x v="14"/>
    <d v="2016-03-07T00:00:00"/>
    <s v="Entrada"/>
    <n v="10"/>
    <s v="SMELJ"/>
    <s v="Inventário"/>
    <n v="1"/>
    <n v="10"/>
  </r>
  <r>
    <x v="15"/>
    <d v="2016-03-07T00:00:00"/>
    <s v="Entrada"/>
    <n v="10"/>
    <s v="SMELJ"/>
    <s v="Inventário"/>
    <n v="1"/>
    <n v="10"/>
  </r>
  <r>
    <x v="16"/>
    <d v="2016-03-07T00:00:00"/>
    <s v="Entrada"/>
    <n v="10"/>
    <s v="SMELJ"/>
    <s v="Inventário"/>
    <n v="1"/>
    <n v="10"/>
  </r>
  <r>
    <x v="17"/>
    <d v="2016-03-07T00:00:00"/>
    <s v="Entrada"/>
    <n v="10"/>
    <s v="SMELJ"/>
    <s v="Inventário"/>
    <n v="1"/>
    <n v="10"/>
  </r>
  <r>
    <x v="18"/>
    <d v="2016-03-07T00:00:00"/>
    <s v="Entrada"/>
    <n v="10"/>
    <s v="SMELJ"/>
    <s v="Inventário"/>
    <n v="1"/>
    <n v="10"/>
  </r>
  <r>
    <x v="19"/>
    <d v="2016-03-07T00:00:00"/>
    <s v="Entrada"/>
    <n v="10"/>
    <s v="SMELJ"/>
    <s v="Inventário"/>
    <n v="1"/>
    <n v="10"/>
  </r>
  <r>
    <x v="20"/>
    <d v="2016-03-07T00:00:00"/>
    <s v="Entrada"/>
    <n v="10"/>
    <s v="SMELJ"/>
    <s v="Inventário"/>
    <n v="1"/>
    <n v="10"/>
  </r>
  <r>
    <x v="21"/>
    <d v="2016-03-07T00:00:00"/>
    <s v="Entrada"/>
    <n v="10"/>
    <s v="SMELJ"/>
    <s v="Inventário"/>
    <n v="1"/>
    <n v="10"/>
  </r>
  <r>
    <x v="22"/>
    <d v="2016-03-07T00:00:00"/>
    <s v="Entrada"/>
    <n v="10"/>
    <s v="SMELJ"/>
    <s v="Inventário"/>
    <n v="1"/>
    <n v="10"/>
  </r>
  <r>
    <x v="23"/>
    <d v="2016-03-07T00:00:00"/>
    <s v="Entrada"/>
    <n v="10"/>
    <s v="SMELJ"/>
    <s v="Inventário"/>
    <n v="1"/>
    <n v="10"/>
  </r>
  <r>
    <x v="24"/>
    <d v="2016-03-07T00:00:00"/>
    <s v="Entrada"/>
    <n v="10"/>
    <s v="SMELJ"/>
    <s v="Inventário"/>
    <n v="1"/>
    <n v="10"/>
  </r>
  <r>
    <x v="25"/>
    <d v="2016-03-07T00:00:00"/>
    <s v="Entrada"/>
    <n v="10"/>
    <s v="SMELJ"/>
    <s v="Inventário"/>
    <n v="1"/>
    <n v="10"/>
  </r>
  <r>
    <x v="26"/>
    <d v="2016-03-07T00:00:00"/>
    <s v="Entrada"/>
    <n v="10"/>
    <s v="SMELJ"/>
    <s v="Inventário"/>
    <n v="1"/>
    <n v="10"/>
  </r>
  <r>
    <x v="27"/>
    <d v="2016-03-07T00:00:00"/>
    <s v="Entrada"/>
    <n v="10"/>
    <s v="SMELJ"/>
    <s v="Inventário"/>
    <n v="1"/>
    <n v="10"/>
  </r>
  <r>
    <x v="28"/>
    <d v="2016-03-07T00:00:00"/>
    <s v="Entrada"/>
    <n v="10"/>
    <s v="SMELJ"/>
    <s v="Inventário"/>
    <n v="1"/>
    <n v="10"/>
  </r>
  <r>
    <x v="29"/>
    <d v="2016-03-07T00:00:00"/>
    <s v="Entrada"/>
    <n v="10"/>
    <s v="SMELJ"/>
    <s v="Inventário"/>
    <n v="1"/>
    <n v="10"/>
  </r>
  <r>
    <x v="30"/>
    <d v="2016-03-07T00:00:00"/>
    <s v="Entrada"/>
    <n v="10"/>
    <s v="SMELJ"/>
    <s v="Inventário"/>
    <n v="1"/>
    <n v="10"/>
  </r>
  <r>
    <x v="31"/>
    <d v="2016-03-07T00:00:00"/>
    <s v="Entrada"/>
    <n v="10"/>
    <s v="SMELJ"/>
    <s v="Inventário"/>
    <n v="1"/>
    <n v="10"/>
  </r>
  <r>
    <x v="32"/>
    <d v="2016-03-07T00:00:00"/>
    <s v="Entrada"/>
    <n v="10"/>
    <s v="SMELJ"/>
    <s v="Inventário"/>
    <n v="1"/>
    <n v="10"/>
  </r>
  <r>
    <x v="33"/>
    <d v="2016-03-07T00:00:00"/>
    <s v="Entrada"/>
    <n v="10"/>
    <s v="SMELJ"/>
    <s v="Inventário"/>
    <n v="1"/>
    <n v="10"/>
  </r>
  <r>
    <x v="34"/>
    <d v="2016-03-07T00:00:00"/>
    <s v="Entrada"/>
    <n v="10"/>
    <s v="SMELJ"/>
    <s v="Inventário"/>
    <n v="1"/>
    <n v="10"/>
  </r>
  <r>
    <x v="35"/>
    <d v="2016-03-07T00:00:00"/>
    <s v="Entrada"/>
    <n v="10"/>
    <s v="SMELJ"/>
    <s v="Inventário"/>
    <n v="1"/>
    <n v="10"/>
  </r>
  <r>
    <x v="36"/>
    <d v="2016-03-07T00:00:00"/>
    <s v="Entrada"/>
    <n v="10"/>
    <s v="SMELJ"/>
    <s v="Inventário"/>
    <n v="1"/>
    <n v="10"/>
  </r>
  <r>
    <x v="37"/>
    <d v="2016-03-07T00:00:00"/>
    <s v="Entrada"/>
    <n v="10"/>
    <s v="SMELJ"/>
    <s v="Inventário"/>
    <n v="1"/>
    <n v="10"/>
  </r>
  <r>
    <x v="38"/>
    <d v="2016-03-07T00:00:00"/>
    <s v="Entrada"/>
    <n v="10"/>
    <s v="SMELJ"/>
    <s v="Inventário"/>
    <n v="1"/>
    <n v="10"/>
  </r>
  <r>
    <x v="39"/>
    <d v="2016-03-07T00:00:00"/>
    <s v="Entrada"/>
    <n v="10"/>
    <s v="SMELJ"/>
    <s v="Inventário"/>
    <n v="1"/>
    <n v="10"/>
  </r>
  <r>
    <x v="40"/>
    <d v="2016-03-07T00:00:00"/>
    <s v="Entrada"/>
    <n v="10"/>
    <s v="SMELJ"/>
    <s v="Inventário"/>
    <n v="1"/>
    <n v="10"/>
  </r>
  <r>
    <x v="41"/>
    <d v="2016-03-07T00:00:00"/>
    <s v="Entrada"/>
    <n v="10"/>
    <s v="SMELJ"/>
    <s v="Inventário"/>
    <n v="1"/>
    <n v="10"/>
  </r>
  <r>
    <x v="42"/>
    <d v="2016-03-07T00:00:00"/>
    <s v="Entrada"/>
    <n v="10"/>
    <s v="SMELJ"/>
    <s v="Inventário"/>
    <n v="1"/>
    <n v="10"/>
  </r>
  <r>
    <x v="43"/>
    <d v="2016-03-07T00:00:00"/>
    <s v="Entrada"/>
    <n v="10"/>
    <s v="SMELJ"/>
    <s v="Inventário"/>
    <n v="1"/>
    <n v="10"/>
  </r>
  <r>
    <x v="44"/>
    <d v="2016-03-07T00:00:00"/>
    <s v="Entrada"/>
    <n v="10"/>
    <s v="SMELJ"/>
    <s v="Inventário"/>
    <n v="1"/>
    <n v="10"/>
  </r>
  <r>
    <x v="45"/>
    <d v="2016-03-07T00:00:00"/>
    <s v="Entrada"/>
    <n v="10"/>
    <s v="SMELJ"/>
    <s v="Inventário"/>
    <n v="1"/>
    <n v="10"/>
  </r>
  <r>
    <x v="45"/>
    <d v="2016-03-08T00:00:00"/>
    <s v="Saída"/>
    <n v="1"/>
    <s v="Boqueirão"/>
    <s v="Competição"/>
    <n v="-1"/>
    <n v="-1"/>
  </r>
  <r>
    <x v="6"/>
    <d v="2016-03-08T00:00:00"/>
    <s v="Saída"/>
    <n v="2"/>
    <m/>
    <m/>
    <n v="-1"/>
    <n v="-2"/>
  </r>
  <r>
    <x v="9"/>
    <m/>
    <s v="Saída"/>
    <n v="5"/>
    <m/>
    <m/>
    <n v="-1"/>
    <n v="-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B50" firstHeaderRow="1" firstDataRow="1" firstDataCol="1"/>
  <pivotFields count="8">
    <pivotField axis="axisRow" showAll="0">
      <items count="47">
        <item x="9"/>
        <item x="19"/>
        <item x="20"/>
        <item x="21"/>
        <item x="22"/>
        <item x="23"/>
        <item x="24"/>
        <item x="17"/>
        <item x="18"/>
        <item x="25"/>
        <item x="26"/>
        <item x="27"/>
        <item x="8"/>
        <item x="11"/>
        <item x="0"/>
        <item x="14"/>
        <item x="12"/>
        <item x="16"/>
        <item x="1"/>
        <item x="3"/>
        <item x="2"/>
        <item x="4"/>
        <item x="13"/>
        <item x="5"/>
        <item x="28"/>
        <item x="29"/>
        <item x="30"/>
        <item x="31"/>
        <item x="32"/>
        <item x="33"/>
        <item x="34"/>
        <item x="35"/>
        <item x="36"/>
        <item x="10"/>
        <item x="7"/>
        <item x="6"/>
        <item x="37"/>
        <item x="38"/>
        <item x="39"/>
        <item x="40"/>
        <item x="15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Items count="1">
    <i/>
  </colItems>
  <dataFields count="1">
    <dataField name="Soma de Sald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A1:H50" totalsRowShown="0">
  <autoFilter ref="A1:H50"/>
  <tableColumns count="8">
    <tableColumn id="1" name="Material" dataDxfId="1"/>
    <tableColumn id="2" name="Data" dataDxfId="0"/>
    <tableColumn id="3" name="Movimentação"/>
    <tableColumn id="4" name="Quantidade"/>
    <tableColumn id="5" name="Entidade"/>
    <tableColumn id="6" name="Observações"/>
    <tableColumn id="7" name="Fator">
      <calculatedColumnFormula>IF(C2="Entrada",1,-1)</calculatedColumnFormula>
    </tableColumn>
    <tableColumn id="8" name="Saldo">
      <calculatedColumnFormula>D2*G2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3:B50"/>
  <sheetViews>
    <sheetView tabSelected="1" workbookViewId="0">
      <selection activeCell="A4" sqref="A4"/>
    </sheetView>
  </sheetViews>
  <sheetFormatPr defaultRowHeight="15" x14ac:dyDescent="0.25"/>
  <cols>
    <col min="1" max="1" width="44.5703125" customWidth="1"/>
    <col min="2" max="2" width="14" customWidth="1"/>
  </cols>
  <sheetData>
    <row r="3" spans="1:2" x14ac:dyDescent="0.25">
      <c r="A3" s="6" t="s">
        <v>60</v>
      </c>
      <c r="B3" t="s">
        <v>62</v>
      </c>
    </row>
    <row r="4" spans="1:2" x14ac:dyDescent="0.25">
      <c r="A4" s="7" t="s">
        <v>19</v>
      </c>
      <c r="B4" s="8">
        <v>5</v>
      </c>
    </row>
    <row r="5" spans="1:2" x14ac:dyDescent="0.25">
      <c r="A5" s="7" t="s">
        <v>29</v>
      </c>
      <c r="B5" s="8">
        <v>10</v>
      </c>
    </row>
    <row r="6" spans="1:2" x14ac:dyDescent="0.25">
      <c r="A6" s="7" t="s">
        <v>30</v>
      </c>
      <c r="B6" s="8">
        <v>10</v>
      </c>
    </row>
    <row r="7" spans="1:2" x14ac:dyDescent="0.25">
      <c r="A7" s="7" t="s">
        <v>31</v>
      </c>
      <c r="B7" s="8">
        <v>10</v>
      </c>
    </row>
    <row r="8" spans="1:2" x14ac:dyDescent="0.25">
      <c r="A8" s="7" t="s">
        <v>32</v>
      </c>
      <c r="B8" s="8">
        <v>10</v>
      </c>
    </row>
    <row r="9" spans="1:2" x14ac:dyDescent="0.25">
      <c r="A9" s="7" t="s">
        <v>33</v>
      </c>
      <c r="B9" s="8">
        <v>10</v>
      </c>
    </row>
    <row r="10" spans="1:2" x14ac:dyDescent="0.25">
      <c r="A10" s="7" t="s">
        <v>34</v>
      </c>
      <c r="B10" s="8">
        <v>10</v>
      </c>
    </row>
    <row r="11" spans="1:2" x14ac:dyDescent="0.25">
      <c r="A11" s="7" t="s">
        <v>8</v>
      </c>
      <c r="B11" s="8">
        <v>10</v>
      </c>
    </row>
    <row r="12" spans="1:2" x14ac:dyDescent="0.25">
      <c r="A12" s="7" t="s">
        <v>9</v>
      </c>
      <c r="B12" s="8">
        <v>10</v>
      </c>
    </row>
    <row r="13" spans="1:2" x14ac:dyDescent="0.25">
      <c r="A13" s="7" t="s">
        <v>35</v>
      </c>
      <c r="B13" s="8">
        <v>10</v>
      </c>
    </row>
    <row r="14" spans="1:2" x14ac:dyDescent="0.25">
      <c r="A14" s="7" t="s">
        <v>36</v>
      </c>
      <c r="B14" s="8">
        <v>10</v>
      </c>
    </row>
    <row r="15" spans="1:2" x14ac:dyDescent="0.25">
      <c r="A15" s="7" t="s">
        <v>37</v>
      </c>
      <c r="B15" s="8">
        <v>10</v>
      </c>
    </row>
    <row r="16" spans="1:2" x14ac:dyDescent="0.25">
      <c r="A16" s="7" t="s">
        <v>18</v>
      </c>
      <c r="B16" s="8">
        <v>10</v>
      </c>
    </row>
    <row r="17" spans="1:2" x14ac:dyDescent="0.25">
      <c r="A17" s="7" t="s">
        <v>21</v>
      </c>
      <c r="B17" s="8">
        <v>10</v>
      </c>
    </row>
    <row r="18" spans="1:2" x14ac:dyDescent="0.25">
      <c r="A18" s="7" t="s">
        <v>10</v>
      </c>
      <c r="B18" s="8">
        <v>10</v>
      </c>
    </row>
    <row r="19" spans="1:2" x14ac:dyDescent="0.25">
      <c r="A19" s="7" t="s">
        <v>24</v>
      </c>
      <c r="B19" s="8">
        <v>10</v>
      </c>
    </row>
    <row r="20" spans="1:2" x14ac:dyDescent="0.25">
      <c r="A20" s="7" t="s">
        <v>22</v>
      </c>
      <c r="B20" s="8">
        <v>10</v>
      </c>
    </row>
    <row r="21" spans="1:2" x14ac:dyDescent="0.25">
      <c r="A21" s="7" t="s">
        <v>26</v>
      </c>
      <c r="B21" s="8">
        <v>10</v>
      </c>
    </row>
    <row r="22" spans="1:2" x14ac:dyDescent="0.25">
      <c r="A22" s="7" t="s">
        <v>11</v>
      </c>
      <c r="B22" s="8">
        <v>10</v>
      </c>
    </row>
    <row r="23" spans="1:2" x14ac:dyDescent="0.25">
      <c r="A23" s="7" t="s">
        <v>13</v>
      </c>
      <c r="B23" s="8">
        <v>10</v>
      </c>
    </row>
    <row r="24" spans="1:2" x14ac:dyDescent="0.25">
      <c r="A24" s="7" t="s">
        <v>12</v>
      </c>
      <c r="B24" s="8">
        <v>10</v>
      </c>
    </row>
    <row r="25" spans="1:2" x14ac:dyDescent="0.25">
      <c r="A25" s="7" t="s">
        <v>14</v>
      </c>
      <c r="B25" s="8">
        <v>10</v>
      </c>
    </row>
    <row r="26" spans="1:2" x14ac:dyDescent="0.25">
      <c r="A26" s="7" t="s">
        <v>23</v>
      </c>
      <c r="B26" s="8">
        <v>10</v>
      </c>
    </row>
    <row r="27" spans="1:2" x14ac:dyDescent="0.25">
      <c r="A27" s="7" t="s">
        <v>15</v>
      </c>
      <c r="B27" s="8">
        <v>10</v>
      </c>
    </row>
    <row r="28" spans="1:2" x14ac:dyDescent="0.25">
      <c r="A28" s="7" t="s">
        <v>38</v>
      </c>
      <c r="B28" s="8">
        <v>10</v>
      </c>
    </row>
    <row r="29" spans="1:2" x14ac:dyDescent="0.25">
      <c r="A29" s="7" t="s">
        <v>39</v>
      </c>
      <c r="B29" s="8">
        <v>10</v>
      </c>
    </row>
    <row r="30" spans="1:2" x14ac:dyDescent="0.25">
      <c r="A30" s="7" t="s">
        <v>40</v>
      </c>
      <c r="B30" s="8">
        <v>10</v>
      </c>
    </row>
    <row r="31" spans="1:2" x14ac:dyDescent="0.25">
      <c r="A31" s="7" t="s">
        <v>41</v>
      </c>
      <c r="B31" s="8">
        <v>10</v>
      </c>
    </row>
    <row r="32" spans="1:2" x14ac:dyDescent="0.25">
      <c r="A32" s="7" t="s">
        <v>42</v>
      </c>
      <c r="B32" s="8">
        <v>10</v>
      </c>
    </row>
    <row r="33" spans="1:2" x14ac:dyDescent="0.25">
      <c r="A33" s="7" t="s">
        <v>43</v>
      </c>
      <c r="B33" s="8">
        <v>10</v>
      </c>
    </row>
    <row r="34" spans="1:2" x14ac:dyDescent="0.25">
      <c r="A34" s="7" t="s">
        <v>44</v>
      </c>
      <c r="B34" s="8">
        <v>10</v>
      </c>
    </row>
    <row r="35" spans="1:2" x14ac:dyDescent="0.25">
      <c r="A35" s="7" t="s">
        <v>45</v>
      </c>
      <c r="B35" s="8">
        <v>10</v>
      </c>
    </row>
    <row r="36" spans="1:2" x14ac:dyDescent="0.25">
      <c r="A36" s="7" t="s">
        <v>46</v>
      </c>
      <c r="B36" s="8">
        <v>10</v>
      </c>
    </row>
    <row r="37" spans="1:2" x14ac:dyDescent="0.25">
      <c r="A37" s="7" t="s">
        <v>20</v>
      </c>
      <c r="B37" s="8">
        <v>10</v>
      </c>
    </row>
    <row r="38" spans="1:2" x14ac:dyDescent="0.25">
      <c r="A38" s="7" t="s">
        <v>17</v>
      </c>
      <c r="B38" s="8">
        <v>10</v>
      </c>
    </row>
    <row r="39" spans="1:2" x14ac:dyDescent="0.25">
      <c r="A39" s="7" t="s">
        <v>16</v>
      </c>
      <c r="B39" s="8">
        <v>8</v>
      </c>
    </row>
    <row r="40" spans="1:2" x14ac:dyDescent="0.25">
      <c r="A40" s="7" t="s">
        <v>47</v>
      </c>
      <c r="B40" s="8">
        <v>10</v>
      </c>
    </row>
    <row r="41" spans="1:2" x14ac:dyDescent="0.25">
      <c r="A41" s="7" t="s">
        <v>48</v>
      </c>
      <c r="B41" s="8">
        <v>10</v>
      </c>
    </row>
    <row r="42" spans="1:2" x14ac:dyDescent="0.25">
      <c r="A42" s="7" t="s">
        <v>49</v>
      </c>
      <c r="B42" s="8">
        <v>10</v>
      </c>
    </row>
    <row r="43" spans="1:2" x14ac:dyDescent="0.25">
      <c r="A43" s="7" t="s">
        <v>50</v>
      </c>
      <c r="B43" s="8">
        <v>10</v>
      </c>
    </row>
    <row r="44" spans="1:2" x14ac:dyDescent="0.25">
      <c r="A44" s="7" t="s">
        <v>25</v>
      </c>
      <c r="B44" s="8">
        <v>10</v>
      </c>
    </row>
    <row r="45" spans="1:2" x14ac:dyDescent="0.25">
      <c r="A45" s="7" t="s">
        <v>51</v>
      </c>
      <c r="B45" s="8">
        <v>10</v>
      </c>
    </row>
    <row r="46" spans="1:2" x14ac:dyDescent="0.25">
      <c r="A46" s="7" t="s">
        <v>52</v>
      </c>
      <c r="B46" s="8">
        <v>10</v>
      </c>
    </row>
    <row r="47" spans="1:2" x14ac:dyDescent="0.25">
      <c r="A47" s="7" t="s">
        <v>53</v>
      </c>
      <c r="B47" s="8">
        <v>10</v>
      </c>
    </row>
    <row r="48" spans="1:2" x14ac:dyDescent="0.25">
      <c r="A48" s="7" t="s">
        <v>54</v>
      </c>
      <c r="B48" s="8">
        <v>10</v>
      </c>
    </row>
    <row r="49" spans="1:2" x14ac:dyDescent="0.25">
      <c r="A49" s="7" t="s">
        <v>55</v>
      </c>
      <c r="B49" s="8">
        <v>9</v>
      </c>
    </row>
    <row r="50" spans="1:2" x14ac:dyDescent="0.25">
      <c r="A50" s="7" t="s">
        <v>61</v>
      </c>
      <c r="B50" s="8">
        <v>452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50"/>
  <sheetViews>
    <sheetView topLeftCell="A29" workbookViewId="0">
      <selection activeCell="E50" sqref="E50"/>
    </sheetView>
  </sheetViews>
  <sheetFormatPr defaultRowHeight="15" x14ac:dyDescent="0.25"/>
  <cols>
    <col min="1" max="1" width="44.5703125" bestFit="1" customWidth="1"/>
    <col min="2" max="2" width="10.7109375" bestFit="1" customWidth="1"/>
    <col min="3" max="3" width="16.28515625" customWidth="1"/>
    <col min="4" max="4" width="13.5703125" customWidth="1"/>
    <col min="5" max="5" width="11" customWidth="1"/>
    <col min="6" max="6" width="14.42578125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3" t="s">
        <v>10</v>
      </c>
      <c r="B2" s="2">
        <v>42436</v>
      </c>
      <c r="C2" s="3" t="s">
        <v>27</v>
      </c>
      <c r="D2" s="3">
        <v>10</v>
      </c>
      <c r="E2" s="3" t="s">
        <v>56</v>
      </c>
      <c r="F2" s="3" t="s">
        <v>28</v>
      </c>
      <c r="G2" s="3">
        <f t="shared" ref="G2:G49" si="0">IF(C2="Entrada",1,-1)</f>
        <v>1</v>
      </c>
      <c r="H2" s="3">
        <f t="shared" ref="H2:H49" si="1">D2*G2</f>
        <v>10</v>
      </c>
    </row>
    <row r="3" spans="1:8" x14ac:dyDescent="0.25">
      <c r="A3" s="3" t="s">
        <v>11</v>
      </c>
      <c r="B3" s="2">
        <v>42436</v>
      </c>
      <c r="C3" s="3" t="s">
        <v>27</v>
      </c>
      <c r="D3" s="3">
        <v>10</v>
      </c>
      <c r="E3" s="3" t="s">
        <v>56</v>
      </c>
      <c r="F3" s="3" t="s">
        <v>28</v>
      </c>
      <c r="G3" s="3">
        <f t="shared" si="0"/>
        <v>1</v>
      </c>
      <c r="H3" s="3">
        <f t="shared" si="1"/>
        <v>10</v>
      </c>
    </row>
    <row r="4" spans="1:8" x14ac:dyDescent="0.25">
      <c r="A4" s="3" t="s">
        <v>12</v>
      </c>
      <c r="B4" s="2">
        <v>42436</v>
      </c>
      <c r="C4" s="3" t="s">
        <v>27</v>
      </c>
      <c r="D4" s="3">
        <v>10</v>
      </c>
      <c r="E4" s="3" t="s">
        <v>56</v>
      </c>
      <c r="F4" s="3" t="s">
        <v>28</v>
      </c>
      <c r="G4" s="3">
        <f t="shared" si="0"/>
        <v>1</v>
      </c>
      <c r="H4" s="3">
        <f t="shared" si="1"/>
        <v>10</v>
      </c>
    </row>
    <row r="5" spans="1:8" x14ac:dyDescent="0.25">
      <c r="A5" s="3" t="s">
        <v>13</v>
      </c>
      <c r="B5" s="2">
        <v>42436</v>
      </c>
      <c r="C5" s="3" t="s">
        <v>27</v>
      </c>
      <c r="D5" s="3">
        <v>10</v>
      </c>
      <c r="E5" s="3" t="s">
        <v>56</v>
      </c>
      <c r="F5" s="3" t="s">
        <v>28</v>
      </c>
      <c r="G5" s="3">
        <f t="shared" si="0"/>
        <v>1</v>
      </c>
      <c r="H5" s="3">
        <f t="shared" si="1"/>
        <v>10</v>
      </c>
    </row>
    <row r="6" spans="1:8" x14ac:dyDescent="0.25">
      <c r="A6" s="3" t="s">
        <v>14</v>
      </c>
      <c r="B6" s="2">
        <v>42436</v>
      </c>
      <c r="C6" s="3" t="s">
        <v>27</v>
      </c>
      <c r="D6" s="3">
        <v>10</v>
      </c>
      <c r="E6" s="3" t="s">
        <v>56</v>
      </c>
      <c r="F6" s="3" t="s">
        <v>28</v>
      </c>
      <c r="G6" s="3">
        <f t="shared" si="0"/>
        <v>1</v>
      </c>
      <c r="H6" s="3">
        <f t="shared" si="1"/>
        <v>10</v>
      </c>
    </row>
    <row r="7" spans="1:8" x14ac:dyDescent="0.25">
      <c r="A7" s="3" t="s">
        <v>15</v>
      </c>
      <c r="B7" s="2">
        <v>42436</v>
      </c>
      <c r="C7" s="3" t="s">
        <v>27</v>
      </c>
      <c r="D7" s="3">
        <v>10</v>
      </c>
      <c r="E7" s="3" t="s">
        <v>56</v>
      </c>
      <c r="F7" s="3" t="s">
        <v>28</v>
      </c>
      <c r="G7" s="3">
        <f t="shared" si="0"/>
        <v>1</v>
      </c>
      <c r="H7" s="3">
        <f t="shared" si="1"/>
        <v>10</v>
      </c>
    </row>
    <row r="8" spans="1:8" x14ac:dyDescent="0.25">
      <c r="A8" s="3" t="s">
        <v>16</v>
      </c>
      <c r="B8" s="2">
        <v>42436</v>
      </c>
      <c r="C8" s="3" t="s">
        <v>27</v>
      </c>
      <c r="D8" s="3">
        <v>10</v>
      </c>
      <c r="E8" s="3" t="s">
        <v>56</v>
      </c>
      <c r="F8" s="3" t="s">
        <v>28</v>
      </c>
      <c r="G8" s="3">
        <f t="shared" si="0"/>
        <v>1</v>
      </c>
      <c r="H8" s="3">
        <f t="shared" si="1"/>
        <v>10</v>
      </c>
    </row>
    <row r="9" spans="1:8" x14ac:dyDescent="0.25">
      <c r="A9" s="3" t="s">
        <v>17</v>
      </c>
      <c r="B9" s="2">
        <v>42436</v>
      </c>
      <c r="C9" s="3" t="s">
        <v>27</v>
      </c>
      <c r="D9" s="3">
        <v>10</v>
      </c>
      <c r="E9" s="3" t="s">
        <v>56</v>
      </c>
      <c r="F9" s="3" t="s">
        <v>28</v>
      </c>
      <c r="G9" s="3">
        <f t="shared" si="0"/>
        <v>1</v>
      </c>
      <c r="H9" s="3">
        <f t="shared" si="1"/>
        <v>10</v>
      </c>
    </row>
    <row r="10" spans="1:8" x14ac:dyDescent="0.25">
      <c r="A10" s="3" t="s">
        <v>18</v>
      </c>
      <c r="B10" s="2">
        <v>42436</v>
      </c>
      <c r="C10" s="3" t="s">
        <v>27</v>
      </c>
      <c r="D10" s="3">
        <v>10</v>
      </c>
      <c r="E10" s="3" t="s">
        <v>56</v>
      </c>
      <c r="F10" s="3" t="s">
        <v>28</v>
      </c>
      <c r="G10" s="3">
        <f t="shared" si="0"/>
        <v>1</v>
      </c>
      <c r="H10" s="3">
        <f t="shared" si="1"/>
        <v>10</v>
      </c>
    </row>
    <row r="11" spans="1:8" x14ac:dyDescent="0.25">
      <c r="A11" s="3" t="s">
        <v>19</v>
      </c>
      <c r="B11" s="2">
        <v>42436</v>
      </c>
      <c r="C11" s="3" t="s">
        <v>27</v>
      </c>
      <c r="D11" s="3">
        <v>10</v>
      </c>
      <c r="E11" s="3" t="s">
        <v>56</v>
      </c>
      <c r="F11" s="3" t="s">
        <v>28</v>
      </c>
      <c r="G11" s="3">
        <f t="shared" si="0"/>
        <v>1</v>
      </c>
      <c r="H11" s="3">
        <f t="shared" si="1"/>
        <v>10</v>
      </c>
    </row>
    <row r="12" spans="1:8" x14ac:dyDescent="0.25">
      <c r="A12" s="3" t="s">
        <v>20</v>
      </c>
      <c r="B12" s="2">
        <v>42436</v>
      </c>
      <c r="C12" s="3" t="s">
        <v>27</v>
      </c>
      <c r="D12" s="3">
        <v>10</v>
      </c>
      <c r="E12" s="3" t="s">
        <v>56</v>
      </c>
      <c r="F12" s="3" t="s">
        <v>28</v>
      </c>
      <c r="G12" s="3">
        <f t="shared" si="0"/>
        <v>1</v>
      </c>
      <c r="H12" s="3">
        <f t="shared" si="1"/>
        <v>10</v>
      </c>
    </row>
    <row r="13" spans="1:8" x14ac:dyDescent="0.25">
      <c r="A13" s="3" t="s">
        <v>21</v>
      </c>
      <c r="B13" s="2">
        <v>42436</v>
      </c>
      <c r="C13" s="3" t="s">
        <v>27</v>
      </c>
      <c r="D13" s="3">
        <v>10</v>
      </c>
      <c r="E13" s="3" t="s">
        <v>56</v>
      </c>
      <c r="F13" s="3" t="s">
        <v>28</v>
      </c>
      <c r="G13" s="3">
        <f t="shared" si="0"/>
        <v>1</v>
      </c>
      <c r="H13" s="3">
        <f t="shared" si="1"/>
        <v>10</v>
      </c>
    </row>
    <row r="14" spans="1:8" x14ac:dyDescent="0.25">
      <c r="A14" s="3" t="s">
        <v>22</v>
      </c>
      <c r="B14" s="2">
        <v>42436</v>
      </c>
      <c r="C14" s="3" t="s">
        <v>27</v>
      </c>
      <c r="D14" s="3">
        <v>10</v>
      </c>
      <c r="E14" s="3" t="s">
        <v>56</v>
      </c>
      <c r="F14" s="3" t="s">
        <v>28</v>
      </c>
      <c r="G14" s="3">
        <f t="shared" si="0"/>
        <v>1</v>
      </c>
      <c r="H14" s="3">
        <f t="shared" si="1"/>
        <v>10</v>
      </c>
    </row>
    <row r="15" spans="1:8" x14ac:dyDescent="0.25">
      <c r="A15" s="3" t="s">
        <v>23</v>
      </c>
      <c r="B15" s="2">
        <v>42436</v>
      </c>
      <c r="C15" s="3" t="s">
        <v>27</v>
      </c>
      <c r="D15" s="3">
        <v>10</v>
      </c>
      <c r="E15" s="3" t="s">
        <v>56</v>
      </c>
      <c r="F15" s="3" t="s">
        <v>28</v>
      </c>
      <c r="G15" s="3">
        <f t="shared" si="0"/>
        <v>1</v>
      </c>
      <c r="H15" s="3">
        <f t="shared" si="1"/>
        <v>10</v>
      </c>
    </row>
    <row r="16" spans="1:8" x14ac:dyDescent="0.25">
      <c r="A16" s="3" t="s">
        <v>24</v>
      </c>
      <c r="B16" s="2">
        <v>42436</v>
      </c>
      <c r="C16" s="3" t="s">
        <v>27</v>
      </c>
      <c r="D16" s="3">
        <v>10</v>
      </c>
      <c r="E16" s="3" t="s">
        <v>56</v>
      </c>
      <c r="F16" s="3" t="s">
        <v>28</v>
      </c>
      <c r="G16" s="3">
        <f t="shared" si="0"/>
        <v>1</v>
      </c>
      <c r="H16" s="3">
        <f t="shared" si="1"/>
        <v>10</v>
      </c>
    </row>
    <row r="17" spans="1:8" x14ac:dyDescent="0.25">
      <c r="A17" s="3" t="s">
        <v>25</v>
      </c>
      <c r="B17" s="2">
        <v>42436</v>
      </c>
      <c r="C17" s="3" t="s">
        <v>27</v>
      </c>
      <c r="D17" s="3">
        <v>10</v>
      </c>
      <c r="E17" s="3" t="s">
        <v>56</v>
      </c>
      <c r="F17" s="3" t="s">
        <v>28</v>
      </c>
      <c r="G17" s="3">
        <f t="shared" si="0"/>
        <v>1</v>
      </c>
      <c r="H17" s="3">
        <f t="shared" si="1"/>
        <v>10</v>
      </c>
    </row>
    <row r="18" spans="1:8" x14ac:dyDescent="0.25">
      <c r="A18" s="3" t="s">
        <v>26</v>
      </c>
      <c r="B18" s="2">
        <v>42436</v>
      </c>
      <c r="C18" s="3" t="s">
        <v>27</v>
      </c>
      <c r="D18" s="3">
        <v>10</v>
      </c>
      <c r="E18" s="3" t="s">
        <v>56</v>
      </c>
      <c r="F18" s="3" t="s">
        <v>28</v>
      </c>
      <c r="G18" s="3">
        <f t="shared" si="0"/>
        <v>1</v>
      </c>
      <c r="H18" s="3">
        <f t="shared" si="1"/>
        <v>10</v>
      </c>
    </row>
    <row r="19" spans="1:8" x14ac:dyDescent="0.25">
      <c r="A19" s="3" t="s">
        <v>8</v>
      </c>
      <c r="B19" s="2">
        <v>42436</v>
      </c>
      <c r="C19" s="3" t="s">
        <v>27</v>
      </c>
      <c r="D19" s="3">
        <v>10</v>
      </c>
      <c r="E19" s="3" t="s">
        <v>56</v>
      </c>
      <c r="F19" s="3" t="s">
        <v>28</v>
      </c>
      <c r="G19" s="3">
        <f t="shared" si="0"/>
        <v>1</v>
      </c>
      <c r="H19" s="3">
        <f t="shared" si="1"/>
        <v>10</v>
      </c>
    </row>
    <row r="20" spans="1:8" x14ac:dyDescent="0.25">
      <c r="A20" s="3" t="s">
        <v>9</v>
      </c>
      <c r="B20" s="2">
        <v>42436</v>
      </c>
      <c r="C20" s="3" t="s">
        <v>27</v>
      </c>
      <c r="D20" s="3">
        <v>10</v>
      </c>
      <c r="E20" s="3" t="s">
        <v>56</v>
      </c>
      <c r="F20" s="3" t="s">
        <v>28</v>
      </c>
      <c r="G20" s="3">
        <f t="shared" si="0"/>
        <v>1</v>
      </c>
      <c r="H20" s="3">
        <f t="shared" si="1"/>
        <v>10</v>
      </c>
    </row>
    <row r="21" spans="1:8" x14ac:dyDescent="0.25">
      <c r="A21" s="4" t="s">
        <v>29</v>
      </c>
      <c r="B21" s="2">
        <v>42436</v>
      </c>
      <c r="C21" s="3" t="s">
        <v>27</v>
      </c>
      <c r="D21" s="3">
        <v>10</v>
      </c>
      <c r="E21" s="3" t="s">
        <v>56</v>
      </c>
      <c r="F21" s="3" t="s">
        <v>28</v>
      </c>
      <c r="G21" s="3">
        <f t="shared" si="0"/>
        <v>1</v>
      </c>
      <c r="H21" s="3">
        <f t="shared" si="1"/>
        <v>10</v>
      </c>
    </row>
    <row r="22" spans="1:8" x14ac:dyDescent="0.25">
      <c r="A22" s="4" t="s">
        <v>30</v>
      </c>
      <c r="B22" s="2">
        <v>42436</v>
      </c>
      <c r="C22" s="3" t="s">
        <v>27</v>
      </c>
      <c r="D22" s="3">
        <v>10</v>
      </c>
      <c r="E22" s="3" t="s">
        <v>56</v>
      </c>
      <c r="F22" s="3" t="s">
        <v>28</v>
      </c>
      <c r="G22" s="3">
        <f t="shared" si="0"/>
        <v>1</v>
      </c>
      <c r="H22" s="3">
        <f t="shared" si="1"/>
        <v>10</v>
      </c>
    </row>
    <row r="23" spans="1:8" x14ac:dyDescent="0.25">
      <c r="A23" s="4" t="s">
        <v>31</v>
      </c>
      <c r="B23" s="2">
        <v>42436</v>
      </c>
      <c r="C23" s="3" t="s">
        <v>27</v>
      </c>
      <c r="D23" s="3">
        <v>10</v>
      </c>
      <c r="E23" s="3" t="s">
        <v>56</v>
      </c>
      <c r="F23" s="3" t="s">
        <v>28</v>
      </c>
      <c r="G23" s="3">
        <f t="shared" si="0"/>
        <v>1</v>
      </c>
      <c r="H23" s="3">
        <f t="shared" si="1"/>
        <v>10</v>
      </c>
    </row>
    <row r="24" spans="1:8" x14ac:dyDescent="0.25">
      <c r="A24" s="4" t="s">
        <v>32</v>
      </c>
      <c r="B24" s="2">
        <v>42436</v>
      </c>
      <c r="C24" s="3" t="s">
        <v>27</v>
      </c>
      <c r="D24" s="3">
        <v>10</v>
      </c>
      <c r="E24" s="3" t="s">
        <v>56</v>
      </c>
      <c r="F24" s="3" t="s">
        <v>28</v>
      </c>
      <c r="G24" s="3">
        <f t="shared" si="0"/>
        <v>1</v>
      </c>
      <c r="H24" s="3">
        <f t="shared" si="1"/>
        <v>10</v>
      </c>
    </row>
    <row r="25" spans="1:8" x14ac:dyDescent="0.25">
      <c r="A25" s="4" t="s">
        <v>33</v>
      </c>
      <c r="B25" s="2">
        <v>42436</v>
      </c>
      <c r="C25" s="3" t="s">
        <v>27</v>
      </c>
      <c r="D25" s="3">
        <v>10</v>
      </c>
      <c r="E25" s="3" t="s">
        <v>56</v>
      </c>
      <c r="F25" s="3" t="s">
        <v>28</v>
      </c>
      <c r="G25" s="3">
        <f t="shared" si="0"/>
        <v>1</v>
      </c>
      <c r="H25" s="3">
        <f t="shared" si="1"/>
        <v>10</v>
      </c>
    </row>
    <row r="26" spans="1:8" x14ac:dyDescent="0.25">
      <c r="A26" s="4" t="s">
        <v>34</v>
      </c>
      <c r="B26" s="2">
        <v>42436</v>
      </c>
      <c r="C26" s="3" t="s">
        <v>27</v>
      </c>
      <c r="D26" s="3">
        <v>10</v>
      </c>
      <c r="E26" s="3" t="s">
        <v>56</v>
      </c>
      <c r="F26" s="3" t="s">
        <v>28</v>
      </c>
      <c r="G26" s="3">
        <f t="shared" si="0"/>
        <v>1</v>
      </c>
      <c r="H26" s="3">
        <f t="shared" si="1"/>
        <v>10</v>
      </c>
    </row>
    <row r="27" spans="1:8" x14ac:dyDescent="0.25">
      <c r="A27" s="4" t="s">
        <v>35</v>
      </c>
      <c r="B27" s="2">
        <v>42436</v>
      </c>
      <c r="C27" s="3" t="s">
        <v>27</v>
      </c>
      <c r="D27" s="3">
        <v>10</v>
      </c>
      <c r="E27" s="3" t="s">
        <v>56</v>
      </c>
      <c r="F27" s="3" t="s">
        <v>28</v>
      </c>
      <c r="G27" s="3">
        <f t="shared" si="0"/>
        <v>1</v>
      </c>
      <c r="H27" s="3">
        <f t="shared" si="1"/>
        <v>10</v>
      </c>
    </row>
    <row r="28" spans="1:8" x14ac:dyDescent="0.25">
      <c r="A28" s="4" t="s">
        <v>36</v>
      </c>
      <c r="B28" s="2">
        <v>42436</v>
      </c>
      <c r="C28" s="3" t="s">
        <v>27</v>
      </c>
      <c r="D28" s="3">
        <v>10</v>
      </c>
      <c r="E28" s="3" t="s">
        <v>56</v>
      </c>
      <c r="F28" s="3" t="s">
        <v>28</v>
      </c>
      <c r="G28" s="3">
        <f t="shared" si="0"/>
        <v>1</v>
      </c>
      <c r="H28" s="3">
        <f t="shared" si="1"/>
        <v>10</v>
      </c>
    </row>
    <row r="29" spans="1:8" x14ac:dyDescent="0.25">
      <c r="A29" s="4" t="s">
        <v>37</v>
      </c>
      <c r="B29" s="2">
        <v>42436</v>
      </c>
      <c r="C29" s="3" t="s">
        <v>27</v>
      </c>
      <c r="D29" s="3">
        <v>10</v>
      </c>
      <c r="E29" s="3" t="s">
        <v>56</v>
      </c>
      <c r="F29" s="3" t="s">
        <v>28</v>
      </c>
      <c r="G29" s="3">
        <f t="shared" si="0"/>
        <v>1</v>
      </c>
      <c r="H29" s="3">
        <f t="shared" si="1"/>
        <v>10</v>
      </c>
    </row>
    <row r="30" spans="1:8" x14ac:dyDescent="0.25">
      <c r="A30" s="4" t="s">
        <v>38</v>
      </c>
      <c r="B30" s="2">
        <v>42436</v>
      </c>
      <c r="C30" s="3" t="s">
        <v>27</v>
      </c>
      <c r="D30" s="3">
        <v>10</v>
      </c>
      <c r="E30" s="3" t="s">
        <v>56</v>
      </c>
      <c r="F30" s="3" t="s">
        <v>28</v>
      </c>
      <c r="G30" s="3">
        <f t="shared" si="0"/>
        <v>1</v>
      </c>
      <c r="H30" s="3">
        <f t="shared" si="1"/>
        <v>10</v>
      </c>
    </row>
    <row r="31" spans="1:8" x14ac:dyDescent="0.25">
      <c r="A31" s="4" t="s">
        <v>39</v>
      </c>
      <c r="B31" s="2">
        <v>42436</v>
      </c>
      <c r="C31" s="3" t="s">
        <v>27</v>
      </c>
      <c r="D31" s="3">
        <v>10</v>
      </c>
      <c r="E31" s="3" t="s">
        <v>56</v>
      </c>
      <c r="F31" s="3" t="s">
        <v>28</v>
      </c>
      <c r="G31" s="3">
        <f t="shared" si="0"/>
        <v>1</v>
      </c>
      <c r="H31" s="3">
        <f t="shared" si="1"/>
        <v>10</v>
      </c>
    </row>
    <row r="32" spans="1:8" x14ac:dyDescent="0.25">
      <c r="A32" s="4" t="s">
        <v>40</v>
      </c>
      <c r="B32" s="2">
        <v>42436</v>
      </c>
      <c r="C32" s="3" t="s">
        <v>27</v>
      </c>
      <c r="D32" s="3">
        <v>10</v>
      </c>
      <c r="E32" s="3" t="s">
        <v>56</v>
      </c>
      <c r="F32" s="3" t="s">
        <v>28</v>
      </c>
      <c r="G32" s="3">
        <f t="shared" si="0"/>
        <v>1</v>
      </c>
      <c r="H32" s="3">
        <f t="shared" si="1"/>
        <v>10</v>
      </c>
    </row>
    <row r="33" spans="1:8" x14ac:dyDescent="0.25">
      <c r="A33" s="4" t="s">
        <v>41</v>
      </c>
      <c r="B33" s="2">
        <v>42436</v>
      </c>
      <c r="C33" s="3" t="s">
        <v>27</v>
      </c>
      <c r="D33" s="3">
        <v>10</v>
      </c>
      <c r="E33" s="3" t="s">
        <v>56</v>
      </c>
      <c r="F33" s="3" t="s">
        <v>28</v>
      </c>
      <c r="G33" s="3">
        <f t="shared" si="0"/>
        <v>1</v>
      </c>
      <c r="H33" s="3">
        <f t="shared" si="1"/>
        <v>10</v>
      </c>
    </row>
    <row r="34" spans="1:8" x14ac:dyDescent="0.25">
      <c r="A34" s="4" t="s">
        <v>42</v>
      </c>
      <c r="B34" s="2">
        <v>42436</v>
      </c>
      <c r="C34" s="3" t="s">
        <v>27</v>
      </c>
      <c r="D34" s="3">
        <v>10</v>
      </c>
      <c r="E34" s="3" t="s">
        <v>56</v>
      </c>
      <c r="F34" s="3" t="s">
        <v>28</v>
      </c>
      <c r="G34" s="3">
        <f t="shared" si="0"/>
        <v>1</v>
      </c>
      <c r="H34" s="3">
        <f t="shared" si="1"/>
        <v>10</v>
      </c>
    </row>
    <row r="35" spans="1:8" x14ac:dyDescent="0.25">
      <c r="A35" s="4" t="s">
        <v>43</v>
      </c>
      <c r="B35" s="2">
        <v>42436</v>
      </c>
      <c r="C35" s="3" t="s">
        <v>27</v>
      </c>
      <c r="D35" s="3">
        <v>10</v>
      </c>
      <c r="E35" s="3" t="s">
        <v>56</v>
      </c>
      <c r="F35" s="3" t="s">
        <v>28</v>
      </c>
      <c r="G35" s="3">
        <f t="shared" si="0"/>
        <v>1</v>
      </c>
      <c r="H35" s="3">
        <f t="shared" si="1"/>
        <v>10</v>
      </c>
    </row>
    <row r="36" spans="1:8" x14ac:dyDescent="0.25">
      <c r="A36" s="4" t="s">
        <v>44</v>
      </c>
      <c r="B36" s="2">
        <v>42436</v>
      </c>
      <c r="C36" s="3" t="s">
        <v>27</v>
      </c>
      <c r="D36" s="3">
        <v>10</v>
      </c>
      <c r="E36" s="3" t="s">
        <v>56</v>
      </c>
      <c r="F36" s="3" t="s">
        <v>28</v>
      </c>
      <c r="G36" s="3">
        <f t="shared" si="0"/>
        <v>1</v>
      </c>
      <c r="H36" s="3">
        <f t="shared" si="1"/>
        <v>10</v>
      </c>
    </row>
    <row r="37" spans="1:8" x14ac:dyDescent="0.25">
      <c r="A37" s="4" t="s">
        <v>45</v>
      </c>
      <c r="B37" s="2">
        <v>42436</v>
      </c>
      <c r="C37" s="3" t="s">
        <v>27</v>
      </c>
      <c r="D37" s="3">
        <v>10</v>
      </c>
      <c r="E37" s="3" t="s">
        <v>56</v>
      </c>
      <c r="F37" s="3" t="s">
        <v>28</v>
      </c>
      <c r="G37" s="3">
        <f t="shared" si="0"/>
        <v>1</v>
      </c>
      <c r="H37" s="3">
        <f t="shared" si="1"/>
        <v>10</v>
      </c>
    </row>
    <row r="38" spans="1:8" x14ac:dyDescent="0.25">
      <c r="A38" s="4" t="s">
        <v>46</v>
      </c>
      <c r="B38" s="2">
        <v>42436</v>
      </c>
      <c r="C38" s="3" t="s">
        <v>27</v>
      </c>
      <c r="D38" s="3">
        <v>10</v>
      </c>
      <c r="E38" s="3" t="s">
        <v>56</v>
      </c>
      <c r="F38" s="3" t="s">
        <v>28</v>
      </c>
      <c r="G38" s="3">
        <f t="shared" si="0"/>
        <v>1</v>
      </c>
      <c r="H38" s="3">
        <f t="shared" si="1"/>
        <v>10</v>
      </c>
    </row>
    <row r="39" spans="1:8" x14ac:dyDescent="0.25">
      <c r="A39" s="4" t="s">
        <v>47</v>
      </c>
      <c r="B39" s="2">
        <v>42436</v>
      </c>
      <c r="C39" s="3" t="s">
        <v>27</v>
      </c>
      <c r="D39" s="3">
        <v>10</v>
      </c>
      <c r="E39" s="3" t="s">
        <v>56</v>
      </c>
      <c r="F39" s="3" t="s">
        <v>28</v>
      </c>
      <c r="G39" s="3">
        <f t="shared" si="0"/>
        <v>1</v>
      </c>
      <c r="H39" s="3">
        <f t="shared" si="1"/>
        <v>10</v>
      </c>
    </row>
    <row r="40" spans="1:8" x14ac:dyDescent="0.25">
      <c r="A40" s="4" t="s">
        <v>48</v>
      </c>
      <c r="B40" s="2">
        <v>42436</v>
      </c>
      <c r="C40" s="3" t="s">
        <v>27</v>
      </c>
      <c r="D40" s="3">
        <v>10</v>
      </c>
      <c r="E40" s="3" t="s">
        <v>56</v>
      </c>
      <c r="F40" s="3" t="s">
        <v>28</v>
      </c>
      <c r="G40" s="3">
        <f t="shared" si="0"/>
        <v>1</v>
      </c>
      <c r="H40" s="3">
        <f t="shared" si="1"/>
        <v>10</v>
      </c>
    </row>
    <row r="41" spans="1:8" x14ac:dyDescent="0.25">
      <c r="A41" s="4" t="s">
        <v>49</v>
      </c>
      <c r="B41" s="2">
        <v>42436</v>
      </c>
      <c r="C41" s="3" t="s">
        <v>27</v>
      </c>
      <c r="D41" s="3">
        <v>10</v>
      </c>
      <c r="E41" s="3" t="s">
        <v>56</v>
      </c>
      <c r="F41" s="3" t="s">
        <v>28</v>
      </c>
      <c r="G41" s="3">
        <f t="shared" si="0"/>
        <v>1</v>
      </c>
      <c r="H41" s="3">
        <f t="shared" si="1"/>
        <v>10</v>
      </c>
    </row>
    <row r="42" spans="1:8" x14ac:dyDescent="0.25">
      <c r="A42" s="4" t="s">
        <v>50</v>
      </c>
      <c r="B42" s="2">
        <v>42436</v>
      </c>
      <c r="C42" s="3" t="s">
        <v>27</v>
      </c>
      <c r="D42" s="3">
        <v>10</v>
      </c>
      <c r="E42" s="3" t="s">
        <v>56</v>
      </c>
      <c r="F42" s="3" t="s">
        <v>28</v>
      </c>
      <c r="G42" s="3">
        <f t="shared" si="0"/>
        <v>1</v>
      </c>
      <c r="H42" s="3">
        <f t="shared" si="1"/>
        <v>10</v>
      </c>
    </row>
    <row r="43" spans="1:8" x14ac:dyDescent="0.25">
      <c r="A43" s="4" t="s">
        <v>51</v>
      </c>
      <c r="B43" s="2">
        <v>42436</v>
      </c>
      <c r="C43" s="3" t="s">
        <v>27</v>
      </c>
      <c r="D43" s="3">
        <v>10</v>
      </c>
      <c r="E43" s="3" t="s">
        <v>56</v>
      </c>
      <c r="F43" s="3" t="s">
        <v>28</v>
      </c>
      <c r="G43" s="3">
        <f t="shared" si="0"/>
        <v>1</v>
      </c>
      <c r="H43" s="3">
        <f t="shared" si="1"/>
        <v>10</v>
      </c>
    </row>
    <row r="44" spans="1:8" x14ac:dyDescent="0.25">
      <c r="A44" s="4" t="s">
        <v>52</v>
      </c>
      <c r="B44" s="2">
        <v>42436</v>
      </c>
      <c r="C44" s="3" t="s">
        <v>27</v>
      </c>
      <c r="D44" s="3">
        <v>10</v>
      </c>
      <c r="E44" s="3" t="s">
        <v>56</v>
      </c>
      <c r="F44" s="3" t="s">
        <v>28</v>
      </c>
      <c r="G44" s="3">
        <f t="shared" si="0"/>
        <v>1</v>
      </c>
      <c r="H44" s="3">
        <f t="shared" si="1"/>
        <v>10</v>
      </c>
    </row>
    <row r="45" spans="1:8" x14ac:dyDescent="0.25">
      <c r="A45" s="4" t="s">
        <v>53</v>
      </c>
      <c r="B45" s="2">
        <v>42436</v>
      </c>
      <c r="C45" s="3" t="s">
        <v>27</v>
      </c>
      <c r="D45" s="3">
        <v>10</v>
      </c>
      <c r="E45" s="3" t="s">
        <v>56</v>
      </c>
      <c r="F45" s="3" t="s">
        <v>28</v>
      </c>
      <c r="G45" s="3">
        <f t="shared" si="0"/>
        <v>1</v>
      </c>
      <c r="H45" s="3">
        <f t="shared" si="1"/>
        <v>10</v>
      </c>
    </row>
    <row r="46" spans="1:8" x14ac:dyDescent="0.25">
      <c r="A46" s="4" t="s">
        <v>54</v>
      </c>
      <c r="B46" s="2">
        <v>42436</v>
      </c>
      <c r="C46" s="3" t="s">
        <v>27</v>
      </c>
      <c r="D46" s="3">
        <v>10</v>
      </c>
      <c r="E46" s="3" t="s">
        <v>56</v>
      </c>
      <c r="F46" s="3" t="s">
        <v>28</v>
      </c>
      <c r="G46" s="3">
        <f t="shared" si="0"/>
        <v>1</v>
      </c>
      <c r="H46" s="3">
        <f t="shared" si="1"/>
        <v>10</v>
      </c>
    </row>
    <row r="47" spans="1:8" x14ac:dyDescent="0.25">
      <c r="A47" s="4" t="s">
        <v>55</v>
      </c>
      <c r="B47" s="2">
        <v>42436</v>
      </c>
      <c r="C47" s="3" t="s">
        <v>27</v>
      </c>
      <c r="D47" s="3">
        <v>10</v>
      </c>
      <c r="E47" s="3" t="s">
        <v>56</v>
      </c>
      <c r="F47" s="3" t="s">
        <v>28</v>
      </c>
      <c r="G47" s="3">
        <f t="shared" si="0"/>
        <v>1</v>
      </c>
      <c r="H47" s="3">
        <f t="shared" si="1"/>
        <v>10</v>
      </c>
    </row>
    <row r="48" spans="1:8" x14ac:dyDescent="0.25">
      <c r="A48" s="5" t="s">
        <v>55</v>
      </c>
      <c r="B48" s="1">
        <v>42437</v>
      </c>
      <c r="C48" t="s">
        <v>57</v>
      </c>
      <c r="D48">
        <v>1</v>
      </c>
      <c r="E48" t="s">
        <v>58</v>
      </c>
      <c r="F48" t="s">
        <v>59</v>
      </c>
      <c r="G48">
        <f t="shared" si="0"/>
        <v>-1</v>
      </c>
      <c r="H48">
        <f t="shared" si="1"/>
        <v>-1</v>
      </c>
    </row>
    <row r="49" spans="1:8" x14ac:dyDescent="0.25">
      <c r="A49" s="5" t="s">
        <v>63</v>
      </c>
      <c r="B49" s="1">
        <v>42437</v>
      </c>
      <c r="C49" t="s">
        <v>57</v>
      </c>
      <c r="D49">
        <v>2</v>
      </c>
      <c r="G49">
        <f t="shared" si="0"/>
        <v>-1</v>
      </c>
      <c r="H49">
        <f t="shared" si="1"/>
        <v>-2</v>
      </c>
    </row>
    <row r="50" spans="1:8" x14ac:dyDescent="0.25">
      <c r="A50" s="5" t="s">
        <v>64</v>
      </c>
      <c r="B50" s="1"/>
      <c r="C50" t="s">
        <v>57</v>
      </c>
      <c r="D50">
        <v>5</v>
      </c>
      <c r="G50">
        <f>IF(C50="Entrada",1,-1)</f>
        <v>-1</v>
      </c>
      <c r="H50">
        <f>D50*G50</f>
        <v>-5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Saldo</vt:lpstr>
      <vt:lpstr>Controle de Entrada e Saída</vt:lpstr>
      <vt:lpstr>Movimentação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Heverson Castro Amorim</dc:creator>
  <cp:lastModifiedBy>Heverson Castro Amorim</cp:lastModifiedBy>
  <dcterms:created xsi:type="dcterms:W3CDTF">2016-03-06T23:27:50Z</dcterms:created>
  <dcterms:modified xsi:type="dcterms:W3CDTF">2016-03-06T23:42:45Z</dcterms:modified>
</cp:coreProperties>
</file>